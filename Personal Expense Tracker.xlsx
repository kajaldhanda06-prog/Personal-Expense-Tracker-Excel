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31E26B50-2D7B-484A-B2BA-6456FEB96F88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2" sheetId="2" r:id="rId1"/>
    <sheet name="Personal expense tracker" sheetId="1" r:id="rId2"/>
  </sheets>
  <definedNames>
    <definedName name="Slicer_Categorys">#N/A</definedName>
    <definedName name="Slicer_Payment_mode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"/>
        <x14:slicerCache r:id="rId4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J17" i="1"/>
  <c r="J16" i="1"/>
  <c r="J11" i="1"/>
  <c r="J12" i="1"/>
  <c r="J10" i="1"/>
  <c r="J3" i="1"/>
  <c r="J4" i="1"/>
  <c r="J5" i="1"/>
  <c r="J6" i="1"/>
  <c r="J2" i="1"/>
</calcChain>
</file>

<file path=xl/sharedStrings.xml><?xml version="1.0" encoding="utf-8"?>
<sst xmlns="http://schemas.openxmlformats.org/spreadsheetml/2006/main" count="107" uniqueCount="64">
  <si>
    <t>PERSONAL EXPENSE TRACKER</t>
  </si>
  <si>
    <t>Purpose</t>
  </si>
  <si>
    <t>Total Expense</t>
  </si>
  <si>
    <t>Kajal -23bsc10072</t>
  </si>
  <si>
    <t>Transport</t>
  </si>
  <si>
    <t>Komal -23bsc10052</t>
  </si>
  <si>
    <t>Entertainment</t>
  </si>
  <si>
    <t>ID</t>
  </si>
  <si>
    <t>Name</t>
  </si>
  <si>
    <t>Date</t>
  </si>
  <si>
    <t>Categoryrys</t>
  </si>
  <si>
    <t>Description</t>
  </si>
  <si>
    <t xml:space="preserve">Payment mode </t>
  </si>
  <si>
    <t>Amount</t>
  </si>
  <si>
    <t>Bills</t>
  </si>
  <si>
    <t>Rahul</t>
  </si>
  <si>
    <t>Food</t>
  </si>
  <si>
    <t>Lunch</t>
  </si>
  <si>
    <t>UPI</t>
  </si>
  <si>
    <t>Priya</t>
  </si>
  <si>
    <t>Bus Fare</t>
  </si>
  <si>
    <t>Cash</t>
  </si>
  <si>
    <t>Shopping</t>
  </si>
  <si>
    <t>Aman</t>
  </si>
  <si>
    <t>Clothes</t>
  </si>
  <si>
    <t>Card</t>
  </si>
  <si>
    <t>Neha</t>
  </si>
  <si>
    <t>Dinner</t>
  </si>
  <si>
    <t>Arjun</t>
  </si>
  <si>
    <t>Movie</t>
  </si>
  <si>
    <t>Payment Mode</t>
  </si>
  <si>
    <t>Simran</t>
  </si>
  <si>
    <t>Electricity</t>
  </si>
  <si>
    <t>Karan</t>
  </si>
  <si>
    <t>Snacks</t>
  </si>
  <si>
    <t>Anjali</t>
  </si>
  <si>
    <t>Metro</t>
  </si>
  <si>
    <t>Rohit</t>
  </si>
  <si>
    <t>Shoes</t>
  </si>
  <si>
    <t>Pooja</t>
  </si>
  <si>
    <t>Breakfast</t>
  </si>
  <si>
    <t>Vivek</t>
  </si>
  <si>
    <t>Internet</t>
  </si>
  <si>
    <t xml:space="preserve">Analysis </t>
  </si>
  <si>
    <t>Value</t>
  </si>
  <si>
    <t>Meena</t>
  </si>
  <si>
    <t>Concert</t>
  </si>
  <si>
    <t xml:space="preserve"> Highest expense</t>
  </si>
  <si>
    <t>Suresh</t>
  </si>
  <si>
    <t>Auto</t>
  </si>
  <si>
    <t xml:space="preserve"> Lowest expense </t>
  </si>
  <si>
    <t>Kavita</t>
  </si>
  <si>
    <t>Average expense</t>
  </si>
  <si>
    <t>Deepak</t>
  </si>
  <si>
    <t>Groceries</t>
  </si>
  <si>
    <t>Riya</t>
  </si>
  <si>
    <t>Netflix</t>
  </si>
  <si>
    <t>Mohit</t>
  </si>
  <si>
    <t>Nisha</t>
  </si>
  <si>
    <t>Cab</t>
  </si>
  <si>
    <t>Akash</t>
  </si>
  <si>
    <t>Mobile Recharge</t>
  </si>
  <si>
    <t>Sneha</t>
  </si>
  <si>
    <t>Cosmetics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</si>
</sst>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1" xfId="0" applyBorder="1"/>
    <xf numFmtId="0" fontId="1" fillId="0" borderId="0" xfId="0" applyFont="1" applyBorder="1"/>
    <xf numFmtId="0" fontId="0" fillId="0" borderId="0" xfId="0" applyBorder="1"/>
    <xf numFmtId="0" fontId="0" fillId="0" borderId="0" xfId="0" quotePrefix="1" applyBorder="1"/>
    <xf numFmtId="14" fontId="0" fillId="0" borderId="0" xfId="0" applyNumberFormat="1" applyBorder="1"/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25">
    <dxf>
      <numFmt numFmtId="19" formatCode="m/d/yyyy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theme="9" tint="0.59999389629810485"/>
        </patternFill>
      </fill>
    </dxf>
    <dxf>
      <font>
        <color rgb="FF9C0006"/>
      </font>
      <fill>
        <patternFill patternType="solid">
          <bgColor theme="8" tint="0.59999389629810485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 patternType="solid">
          <bgColor theme="8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8" tint="0.39997558519241921"/>
        </patternFill>
      </fill>
    </dxf>
    <dxf>
      <font>
        <color rgb="FF9C0006"/>
      </font>
      <fill>
        <patternFill patternType="solid">
          <bgColor theme="7" tint="0.79998168889431442"/>
        </patternFill>
      </fill>
    </dxf>
    <dxf>
      <font>
        <color rgb="FF9C0006"/>
      </font>
      <fill>
        <patternFill patternType="solid"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colors>
    <mruColors>
      <color rgb="FF9C2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microsoft.com/office/2007/relationships/slicerCache" Target="slicerCaches/slicerCache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'Personal expense tracker'!$I$2:$I$6</c:f>
              <c:strCache>
                <c:ptCount val="5"/>
                <c:pt idx="0">
                  <c:v>Transport</c:v>
                </c:pt>
                <c:pt idx="1">
                  <c:v>Entertainment</c:v>
                </c:pt>
                <c:pt idx="2">
                  <c:v>Bills</c:v>
                </c:pt>
                <c:pt idx="3">
                  <c:v>Food</c:v>
                </c:pt>
                <c:pt idx="4">
                  <c:v>Shopping</c:v>
                </c:pt>
              </c:strCache>
            </c:strRef>
          </c:cat>
          <c:val>
            <c:numRef>
              <c:f>'Personal expense tracker'!$J$2:$J$6</c:f>
              <c:numCache>
                <c:formatCode>General</c:formatCode>
                <c:ptCount val="5"/>
                <c:pt idx="0">
                  <c:v>3499</c:v>
                </c:pt>
                <c:pt idx="1">
                  <c:v>1849</c:v>
                </c:pt>
                <c:pt idx="2">
                  <c:v>2750</c:v>
                </c:pt>
                <c:pt idx="3">
                  <c:v>3680</c:v>
                </c:pt>
                <c:pt idx="4">
                  <c:v>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8-4DAE-9720-4F912D591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3390983"/>
        <c:axId val="1443393031"/>
      </c:barChart>
      <c:catAx>
        <c:axId val="1443390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393031"/>
        <c:crosses val="autoZero"/>
        <c:auto val="1"/>
        <c:lblAlgn val="ctr"/>
        <c:lblOffset val="100"/>
        <c:noMultiLvlLbl val="0"/>
      </c:catAx>
      <c:valAx>
        <c:axId val="1443393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390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'Personal expense tracker'!$J$9</c:f>
              <c:strCache>
                <c:ptCount val="1"/>
                <c:pt idx="0">
                  <c:v>Total Expense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'Personal expense tracker'!$I$10:$I$12</c:f>
              <c:strCache>
                <c:ptCount val="3"/>
                <c:pt idx="0">
                  <c:v>UPI</c:v>
                </c:pt>
                <c:pt idx="1">
                  <c:v>Cash</c:v>
                </c:pt>
                <c:pt idx="2">
                  <c:v>Card</c:v>
                </c:pt>
              </c:strCache>
            </c:strRef>
          </c:cat>
          <c:val>
            <c:numRef>
              <c:f>'Personal expense tracker'!$J$10:$J$12</c:f>
              <c:numCache>
                <c:formatCode>General</c:formatCode>
                <c:ptCount val="3"/>
                <c:pt idx="0">
                  <c:v>6599</c:v>
                </c:pt>
                <c:pt idx="1">
                  <c:v>2479</c:v>
                </c:pt>
                <c:pt idx="2">
                  <c:v>3540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1-4D57-8FA9-9FFF04B8D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3071623"/>
        <c:axId val="7160328"/>
      </c:barChart>
      <c:catAx>
        <c:axId val="1513071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0328"/>
        <c:crosses val="autoZero"/>
        <c:auto val="1"/>
        <c:lblAlgn val="ctr"/>
        <c:lblOffset val="100"/>
        <c:noMultiLvlLbl val="0"/>
      </c:catAx>
      <c:valAx>
        <c:axId val="7160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071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'Personal expense tracker'!$J$15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'Personal expense tracker'!$I$16:$I$18</c:f>
              <c:strCache>
                <c:ptCount val="3"/>
                <c:pt idx="0">
                  <c:v> Highest expense</c:v>
                </c:pt>
                <c:pt idx="1">
                  <c:v> Lowest expense </c:v>
                </c:pt>
                <c:pt idx="2">
                  <c:v>Average expense</c:v>
                </c:pt>
              </c:strCache>
            </c:strRef>
          </c:cat>
          <c:val>
            <c:numRef>
              <c:f>'Personal expense tracker'!$J$16:$J$18</c:f>
              <c:numCache>
                <c:formatCode>General</c:formatCode>
                <c:ptCount val="3"/>
                <c:pt idx="0">
                  <c:v>2000</c:v>
                </c:pt>
                <c:pt idx="1">
                  <c:v>50</c:v>
                </c:pt>
                <c:pt idx="2">
                  <c:v>630.9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C-4459-B54C-89D03224F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2376327"/>
        <c:axId val="1512435719"/>
      </c:barChart>
      <c:catAx>
        <c:axId val="1512376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435719"/>
        <c:crosses val="autoZero"/>
        <c:auto val="1"/>
        <c:lblAlgn val="ctr"/>
        <c:lblOffset val="100"/>
        <c:noMultiLvlLbl val="0"/>
      </c:catAx>
      <c:valAx>
        <c:axId val="1512435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376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51-4E9C-83C1-CAD189C1CC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51-4E9C-83C1-CAD189C1CC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51-4E9C-83C1-CAD189C1CC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651-4E9C-83C1-CAD189C1CC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651-4E9C-83C1-CAD189C1CC1F}"/>
              </c:ext>
            </c:extLst>
          </c:dPt>
          <c:cat>
            <c:strRef>
              <c:f>'Personal expense tracker'!$I$2:$I$6</c:f>
              <c:strCache>
                <c:ptCount val="5"/>
                <c:pt idx="0">
                  <c:v>Transport</c:v>
                </c:pt>
                <c:pt idx="1">
                  <c:v>Entertainment</c:v>
                </c:pt>
                <c:pt idx="2">
                  <c:v>Bills</c:v>
                </c:pt>
                <c:pt idx="3">
                  <c:v>Food</c:v>
                </c:pt>
                <c:pt idx="4">
                  <c:v>Shopping</c:v>
                </c:pt>
              </c:strCache>
            </c:strRef>
          </c:cat>
          <c:val>
            <c:numRef>
              <c:f>'Personal expense tracker'!$J$2:$J$6</c:f>
              <c:numCache>
                <c:formatCode>General</c:formatCode>
                <c:ptCount val="5"/>
                <c:pt idx="0">
                  <c:v>3499</c:v>
                </c:pt>
                <c:pt idx="1">
                  <c:v>1849</c:v>
                </c:pt>
                <c:pt idx="2">
                  <c:v>2750</c:v>
                </c:pt>
                <c:pt idx="3">
                  <c:v>3680</c:v>
                </c:pt>
                <c:pt idx="4">
                  <c:v>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0-40FB-A770-8248486EF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'Personal expense tracker'!$J$9</c:f>
              <c:strCache>
                <c:ptCount val="1"/>
                <c:pt idx="0">
                  <c:v>Total Expense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D4-416D-AAAE-6CBB464DCC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D4-416D-AAAE-6CBB464DCC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D4-416D-AAAE-6CBB464DCC3B}"/>
              </c:ext>
            </c:extLst>
          </c:dPt>
          <c:cat>
            <c:strRef>
              <c:f>'Personal expense tracker'!$I$10:$I$12</c:f>
              <c:strCache>
                <c:ptCount val="3"/>
                <c:pt idx="0">
                  <c:v>UPI</c:v>
                </c:pt>
                <c:pt idx="1">
                  <c:v>Cash</c:v>
                </c:pt>
                <c:pt idx="2">
                  <c:v>Card</c:v>
                </c:pt>
              </c:strCache>
            </c:strRef>
          </c:cat>
          <c:val>
            <c:numRef>
              <c:f>'Personal expense tracker'!$J$10:$J$12</c:f>
              <c:numCache>
                <c:formatCode>General</c:formatCode>
                <c:ptCount val="3"/>
                <c:pt idx="0">
                  <c:v>6599</c:v>
                </c:pt>
                <c:pt idx="1">
                  <c:v>2479</c:v>
                </c:pt>
                <c:pt idx="2">
                  <c:v>3540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5-4081-A0D1-34522DC85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'Personal expense tracker'!$J$15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B7-481B-A158-7FE2964549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B7-481B-A158-7FE2964549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B7-481B-A158-7FE296454936}"/>
              </c:ext>
            </c:extLst>
          </c:dPt>
          <c:cat>
            <c:strRef>
              <c:f>'Personal expense tracker'!$I$16:$I$18</c:f>
              <c:strCache>
                <c:ptCount val="3"/>
                <c:pt idx="0">
                  <c:v> Highest expense</c:v>
                </c:pt>
                <c:pt idx="1">
                  <c:v> Lowest expense </c:v>
                </c:pt>
                <c:pt idx="2">
                  <c:v>Average expense</c:v>
                </c:pt>
              </c:strCache>
            </c:strRef>
          </c:cat>
          <c:val>
            <c:numRef>
              <c:f>'Personal expense tracker'!$J$16:$J$18</c:f>
              <c:numCache>
                <c:formatCode>General</c:formatCode>
                <c:ptCount val="3"/>
                <c:pt idx="0">
                  <c:v>2000</c:v>
                </c:pt>
                <c:pt idx="1">
                  <c:v>50</c:v>
                </c:pt>
                <c:pt idx="2">
                  <c:v>630.9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9-4B34-8088-470CD4EDE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571500</xdr:colOff>
      <xdr:row>7</xdr:row>
      <xdr:rowOff>142875</xdr:rowOff>
    </xdr:from>
    <xdr:to>
      <xdr:col>13</xdr:col>
      <xdr:colOff>571500</xdr:colOff>
      <xdr:row>14</xdr:row>
      <xdr:rowOff>161925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2" name="Categorys">
              <a:extLst>
                <a:ext uri="{FF2B5EF4-FFF2-40B4-BE49-F238E27FC236}">
                  <a16:creationId xmlns:a16="http://schemas.microsoft.com/office/drawing/2014/main" id="{59F8CA84-5FCD-604B-68C7-E6B9837966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53525" y="19050"/>
              <a:ext cx="1828800" cy="159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10</xdr:col>
      <xdr:colOff>361950</xdr:colOff>
      <xdr:row>0</xdr:row>
      <xdr:rowOff>95250</xdr:rowOff>
    </xdr:from>
    <xdr:to>
      <xdr:col>13</xdr:col>
      <xdr:colOff>361950</xdr:colOff>
      <xdr:row>5</xdr:row>
      <xdr:rowOff>161925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3" name="Payment mode ">
              <a:extLst>
                <a:ext uri="{FF2B5EF4-FFF2-40B4-BE49-F238E27FC236}">
                  <a16:creationId xmlns:a16="http://schemas.microsoft.com/office/drawing/2014/main" id="{7D6BAA48-B778-6B27-738D-6293803F65B2}"/>
                </a:ext>
                <a:ext uri="{147F2762-F138-4A5C-976F-8EAC2B608ADB}">
                  <a16:predDERef xmlns:a16="http://schemas.microsoft.com/office/drawing/2014/main" pred="{59F8CA84-5FCD-604B-68C7-E6B9837966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ode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24725" y="66675"/>
              <a:ext cx="1828800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104775</xdr:colOff>
      <xdr:row>25</xdr:row>
      <xdr:rowOff>47625</xdr:rowOff>
    </xdr:from>
    <xdr:to>
      <xdr:col>4</xdr:col>
      <xdr:colOff>600075</xdr:colOff>
      <xdr:row>39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3FF17C-9425-F6F7-3E90-A716325BD89A}"/>
            </a:ext>
            <a:ext uri="{147F2762-F138-4A5C-976F-8EAC2B608ADB}">
              <a16:predDERef xmlns:a16="http://schemas.microsoft.com/office/drawing/2014/main" pred="{7D6BAA48-B778-6B27-738D-6293803F6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1000125</xdr:colOff>
      <xdr:row>25</xdr:row>
      <xdr:rowOff>9525</xdr:rowOff>
    </xdr:from>
    <xdr:to>
      <xdr:col>9</xdr:col>
      <xdr:colOff>495300</xdr:colOff>
      <xdr:row>39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339516-15F8-1094-2CC9-9AE99B83E340}"/>
            </a:ext>
            <a:ext uri="{147F2762-F138-4A5C-976F-8EAC2B608ADB}">
              <a16:predDERef xmlns:a16="http://schemas.microsoft.com/office/drawing/2014/main" pred="{143FF17C-9425-F6F7-3E90-A716325BD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952500</xdr:colOff>
      <xdr:row>41</xdr:row>
      <xdr:rowOff>133350</xdr:rowOff>
    </xdr:from>
    <xdr:to>
      <xdr:col>17</xdr:col>
      <xdr:colOff>219075</xdr:colOff>
      <xdr:row>56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1D6D3B-3619-F296-AEE2-A901E2E323DF}"/>
            </a:ext>
            <a:ext uri="{147F2762-F138-4A5C-976F-8EAC2B608ADB}">
              <a16:predDERef xmlns:a16="http://schemas.microsoft.com/office/drawing/2014/main" pred="{68339516-15F8-1094-2CC9-9AE99B83E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123825</xdr:colOff>
      <xdr:row>41</xdr:row>
      <xdr:rowOff>38100</xdr:rowOff>
    </xdr:from>
    <xdr:to>
      <xdr:col>4</xdr:col>
      <xdr:colOff>619125</xdr:colOff>
      <xdr:row>55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506023-C433-D4E9-FF51-08F14C75B32B}"/>
            </a:ext>
            <a:ext uri="{147F2762-F138-4A5C-976F-8EAC2B608ADB}">
              <a16:predDERef xmlns:a16="http://schemas.microsoft.com/office/drawing/2014/main" pred="{D01D6D3B-3619-F296-AEE2-A901E2E32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9525</xdr:colOff>
      <xdr:row>41</xdr:row>
      <xdr:rowOff>57150</xdr:rowOff>
    </xdr:from>
    <xdr:to>
      <xdr:col>9</xdr:col>
      <xdr:colOff>542925</xdr:colOff>
      <xdr:row>55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1DAF873-E4F9-224D-4183-9F3E0FD6B745}"/>
            </a:ext>
            <a:ext uri="{147F2762-F138-4A5C-976F-8EAC2B608ADB}">
              <a16:predDERef xmlns:a16="http://schemas.microsoft.com/office/drawing/2014/main" pred="{89506023-C433-D4E9-FF51-08F14C75B3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904875</xdr:colOff>
      <xdr:row>24</xdr:row>
      <xdr:rowOff>180975</xdr:rowOff>
    </xdr:from>
    <xdr:to>
      <xdr:col>17</xdr:col>
      <xdr:colOff>171450</xdr:colOff>
      <xdr:row>39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3BD16F5-1C9D-C15B-97DA-7D219D710CA7}"/>
            </a:ext>
            <a:ext uri="{147F2762-F138-4A5C-976F-8EAC2B608ADB}">
              <a16:predDERef xmlns:a16="http://schemas.microsoft.com/office/drawing/2014/main" pred="{71DAF873-E4F9-224D-4183-9F3E0FD6B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s" xr10:uid="{C9A4D229-F4FE-4967-8244-FA9597278E7F}" sourceName="Categoryrys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_mode" xr10:uid="{7C2BF540-5087-40CE-8B50-406CBC50532A}" sourceName="Payment mode ">
  <extLst>
    <x:ext xmlns:x15="http://schemas.microsoft.com/office/spreadsheetml/2010/11/main" uri="{2F2917AC-EB37-4324-AD4E-5DD8C200BD13}">
      <x15:tableSlicerCache tableId="1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s" xr10:uid="{E4AAC32A-FD70-40C7-BD97-1CB557312960}" cache="Slicer_Categorys" caption="Categoryrys" startItem="1" rowHeight="228600"/>
  <slicer name="Payment mode " xr10:uid="{C2289C41-1053-4907-BE6D-9444B3A0D656}" cache="Slicer_Payment_mode" caption="Payment mode 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1CCD8A-3BDE-4471-A58B-84A95A64604F}" name="Table1" displayName="Table1" ref="A4:G24" totalsRowShown="0" headerRowDxfId="2" tableBorderDxfId="1">
  <autoFilter ref="A4:G24" xr:uid="{BE1CCD8A-3BDE-4471-A58B-84A95A64604F}"/>
  <tableColumns count="7">
    <tableColumn id="1" xr3:uid="{6DD6C33D-7A60-4ABA-BA2B-50B9CE7A5B40}" name="ID"/>
    <tableColumn id="2" xr3:uid="{93AC4A37-7730-4ABD-84B5-859B08F6A621}" name="Name"/>
    <tableColumn id="3" xr3:uid="{083FA8F2-8D3D-46C2-A48B-268D4BC1243D}" name="Date" dataDxfId="0"/>
    <tableColumn id="4" xr3:uid="{F8C66FF5-F93A-4856-9892-2A93EEE5B79B}" name="Categoryrys"/>
    <tableColumn id="5" xr3:uid="{EC2E6963-9CE7-4A17-9FB6-45096AC48BBA}" name="Description"/>
    <tableColumn id="6" xr3:uid="{C9D1A4B2-5F5B-41D0-A689-81BAA5139A07}" name="Payment mode "/>
    <tableColumn id="7" xr3:uid="{6FF09BD8-588C-4E6C-8207-42B8B5871064}" name="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7BED76-5146-49E4-9372-2EAE9BC765C5}" name="Table5" displayName="Table5" ref="I1:J6" totalsRowShown="0">
  <autoFilter ref="I1:J6" xr:uid="{697BED76-5146-49E4-9372-2EAE9BC765C5}"/>
  <tableColumns count="2">
    <tableColumn id="1" xr3:uid="{0952C335-67B0-4EA3-8AF9-6CD4AE3E5985}" name="Purpose"/>
    <tableColumn id="2" xr3:uid="{7D144E4F-FD56-4D89-A184-A2C487D110FD}" name="Total Expense">
      <calculatedColumnFormula>SUMIF(D:D, I2, G:G)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800749B-51CA-4CAD-BC1E-88C27A5C84AD}" name="Table6" displayName="Table6" ref="I9:J12" totalsRowShown="0">
  <autoFilter ref="I9:J12" xr:uid="{5800749B-51CA-4CAD-BC1E-88C27A5C84AD}"/>
  <tableColumns count="2">
    <tableColumn id="1" xr3:uid="{70F0C1A2-D5DB-430A-A04B-E4540010B64D}" name="Payment Mode"/>
    <tableColumn id="2" xr3:uid="{CF258DEC-6AED-4A9F-93DC-38B99AE3FDEB}" name="Total Expense">
      <calculatedColumnFormula>SUMIF($F$5:$F$24, I10, $G$5:$G$24)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C4C78D0-62A8-45DB-BA89-2AFFA504FCE7}" name="Table7" displayName="Table7" ref="I15:J18" totalsRowShown="0">
  <autoFilter ref="I15:J18" xr:uid="{EC4C78D0-62A8-45DB-BA89-2AFFA504FCE7}"/>
  <tableColumns count="2">
    <tableColumn id="1" xr3:uid="{BCFEFBE1-76A5-46E1-8699-B84CA91B8728}" name="Analysis "/>
    <tableColumn id="2" xr3:uid="{0D19BD54-233A-4D20-AE28-CA04E868B307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microsoft.com/office/2007/relationships/slicer" Target="../slicers/slicer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75B96-7F39-429E-82A7-2B479AD367B7}">
  <dimension ref="S6"/>
  <sheetViews>
    <sheetView workbookViewId="0">
      <selection activeCell="S6" sqref="S6"/>
    </sheetView>
  </sheetViews>
  <sheetFormatPr defaultRowHeight="15"/>
  <sheetData>
    <row r="6" spans="19:19">
      <c r="S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selection activeCell="J20" sqref="J20"/>
    </sheetView>
  </sheetViews>
  <sheetFormatPr defaultRowHeight="15"/>
  <cols>
    <col min="3" max="3" width="26.28515625" customWidth="1"/>
    <col min="4" max="4" width="16.5703125" bestFit="1" customWidth="1"/>
    <col min="5" max="5" width="15.5703125" bestFit="1" customWidth="1"/>
    <col min="6" max="6" width="17.140625" bestFit="1" customWidth="1"/>
    <col min="7" max="7" width="17.42578125" customWidth="1"/>
    <col min="9" max="9" width="16.85546875" bestFit="1" customWidth="1"/>
    <col min="10" max="10" width="15.5703125" bestFit="1" customWidth="1"/>
  </cols>
  <sheetData>
    <row r="1" spans="1:10" ht="39.75" customHeight="1">
      <c r="A1" s="10" t="s">
        <v>0</v>
      </c>
      <c r="B1" s="10"/>
      <c r="C1" s="10"/>
      <c r="D1" s="10"/>
      <c r="E1" s="10"/>
      <c r="F1" s="10"/>
      <c r="G1" s="10"/>
      <c r="I1" t="s">
        <v>1</v>
      </c>
      <c r="J1" t="s">
        <v>2</v>
      </c>
    </row>
    <row r="2" spans="1:10">
      <c r="A2" s="1"/>
      <c r="B2" s="1"/>
      <c r="C2" s="7"/>
      <c r="D2" s="7"/>
      <c r="E2" s="7"/>
      <c r="F2" s="1"/>
      <c r="G2" s="8" t="s">
        <v>3</v>
      </c>
      <c r="I2" t="s">
        <v>4</v>
      </c>
      <c r="J2">
        <f>SUMIF(D:D, I2, G:G)</f>
        <v>3499</v>
      </c>
    </row>
    <row r="3" spans="1:10">
      <c r="A3" s="1"/>
      <c r="B3" s="1"/>
      <c r="C3" s="1"/>
      <c r="D3" s="1"/>
      <c r="E3" s="1"/>
      <c r="F3" s="1"/>
      <c r="G3" s="8" t="s">
        <v>5</v>
      </c>
      <c r="I3" t="s">
        <v>6</v>
      </c>
      <c r="J3">
        <f t="shared" ref="J3:J6" si="0">SUMIF(D:D, I3, G:G)</f>
        <v>1849</v>
      </c>
    </row>
    <row r="4" spans="1:10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I4" t="s">
        <v>14</v>
      </c>
      <c r="J4">
        <f t="shared" si="0"/>
        <v>2750</v>
      </c>
    </row>
    <row r="5" spans="1:10">
      <c r="A5" s="4">
        <v>1</v>
      </c>
      <c r="B5" s="4" t="s">
        <v>15</v>
      </c>
      <c r="C5" s="6">
        <v>46025</v>
      </c>
      <c r="D5" s="4" t="s">
        <v>16</v>
      </c>
      <c r="E5" s="4" t="s">
        <v>17</v>
      </c>
      <c r="F5" s="4" t="s">
        <v>18</v>
      </c>
      <c r="G5" s="4">
        <v>650</v>
      </c>
      <c r="I5" t="s">
        <v>16</v>
      </c>
      <c r="J5">
        <f t="shared" si="0"/>
        <v>3680</v>
      </c>
    </row>
    <row r="6" spans="1:10">
      <c r="A6" s="4">
        <v>2</v>
      </c>
      <c r="B6" s="4" t="s">
        <v>19</v>
      </c>
      <c r="C6" s="6">
        <v>46025</v>
      </c>
      <c r="D6" s="4" t="s">
        <v>4</v>
      </c>
      <c r="E6" s="4" t="s">
        <v>20</v>
      </c>
      <c r="F6" s="4" t="s">
        <v>21</v>
      </c>
      <c r="G6" s="3">
        <v>299</v>
      </c>
      <c r="I6" t="s">
        <v>22</v>
      </c>
      <c r="J6">
        <f t="shared" si="0"/>
        <v>840</v>
      </c>
    </row>
    <row r="7" spans="1:10">
      <c r="A7" s="4">
        <v>3</v>
      </c>
      <c r="B7" s="4" t="s">
        <v>23</v>
      </c>
      <c r="C7" s="6">
        <v>46056</v>
      </c>
      <c r="D7" s="4" t="s">
        <v>22</v>
      </c>
      <c r="E7" s="4" t="s">
        <v>24</v>
      </c>
      <c r="F7" s="4" t="s">
        <v>25</v>
      </c>
      <c r="G7" s="4">
        <v>200</v>
      </c>
    </row>
    <row r="8" spans="1:10">
      <c r="A8" s="4">
        <v>4</v>
      </c>
      <c r="B8" s="4" t="s">
        <v>26</v>
      </c>
      <c r="C8" s="6">
        <v>46056</v>
      </c>
      <c r="D8" s="4" t="s">
        <v>16</v>
      </c>
      <c r="E8" s="4" t="s">
        <v>27</v>
      </c>
      <c r="F8" s="4" t="s">
        <v>18</v>
      </c>
      <c r="G8" s="4">
        <v>50</v>
      </c>
    </row>
    <row r="9" spans="1:10">
      <c r="A9" s="4">
        <v>5</v>
      </c>
      <c r="B9" s="4" t="s">
        <v>28</v>
      </c>
      <c r="C9" s="6">
        <v>46084</v>
      </c>
      <c r="D9" s="4" t="s">
        <v>6</v>
      </c>
      <c r="E9" s="4" t="s">
        <v>29</v>
      </c>
      <c r="F9" s="4" t="s">
        <v>25</v>
      </c>
      <c r="G9" s="4">
        <v>1200</v>
      </c>
      <c r="I9" t="s">
        <v>30</v>
      </c>
      <c r="J9" t="s">
        <v>2</v>
      </c>
    </row>
    <row r="10" spans="1:10">
      <c r="A10" s="4">
        <v>6</v>
      </c>
      <c r="B10" s="4" t="s">
        <v>31</v>
      </c>
      <c r="C10" s="6">
        <v>46084</v>
      </c>
      <c r="D10" s="4" t="s">
        <v>14</v>
      </c>
      <c r="E10" s="4" t="s">
        <v>32</v>
      </c>
      <c r="F10" s="4" t="s">
        <v>18</v>
      </c>
      <c r="G10" s="4">
        <v>350</v>
      </c>
      <c r="I10" t="s">
        <v>18</v>
      </c>
      <c r="J10">
        <f>SUMIF($F$5:$F$24, I10, $G$5:$G$24)</f>
        <v>6599</v>
      </c>
    </row>
    <row r="11" spans="1:10">
      <c r="A11" s="4">
        <v>7</v>
      </c>
      <c r="B11" s="4" t="s">
        <v>33</v>
      </c>
      <c r="C11" s="6">
        <v>46115</v>
      </c>
      <c r="D11" s="4" t="s">
        <v>16</v>
      </c>
      <c r="E11" s="4" t="s">
        <v>34</v>
      </c>
      <c r="F11" s="4" t="s">
        <v>21</v>
      </c>
      <c r="G11" s="4">
        <v>500</v>
      </c>
      <c r="I11" t="s">
        <v>21</v>
      </c>
      <c r="J11">
        <f t="shared" ref="J11:J12" si="1">SUMIF($F$5:$F$24, I11, $G$5:$G$24)</f>
        <v>2479</v>
      </c>
    </row>
    <row r="12" spans="1:10">
      <c r="A12" s="4">
        <v>8</v>
      </c>
      <c r="B12" s="4" t="s">
        <v>35</v>
      </c>
      <c r="C12" s="6">
        <v>46115</v>
      </c>
      <c r="D12" s="4" t="s">
        <v>4</v>
      </c>
      <c r="E12" s="4" t="s">
        <v>36</v>
      </c>
      <c r="F12" s="4" t="s">
        <v>25</v>
      </c>
      <c r="G12" s="4">
        <v>1500</v>
      </c>
      <c r="I12" t="s">
        <v>25</v>
      </c>
      <c r="J12">
        <f t="shared" si="1"/>
        <v>3540</v>
      </c>
    </row>
    <row r="13" spans="1:10">
      <c r="A13" s="4">
        <v>9</v>
      </c>
      <c r="B13" s="4" t="s">
        <v>37</v>
      </c>
      <c r="C13" s="6">
        <v>46145</v>
      </c>
      <c r="D13" s="4" t="s">
        <v>22</v>
      </c>
      <c r="E13" s="4" t="s">
        <v>38</v>
      </c>
      <c r="F13" s="4" t="s">
        <v>18</v>
      </c>
      <c r="G13" s="4">
        <v>300</v>
      </c>
    </row>
    <row r="14" spans="1:10">
      <c r="A14" s="4">
        <v>10</v>
      </c>
      <c r="B14" s="4" t="s">
        <v>39</v>
      </c>
      <c r="C14" s="6">
        <v>46145</v>
      </c>
      <c r="D14" s="4" t="s">
        <v>16</v>
      </c>
      <c r="E14" s="4" t="s">
        <v>40</v>
      </c>
      <c r="F14" s="4" t="s">
        <v>21</v>
      </c>
      <c r="G14" s="4">
        <v>80</v>
      </c>
    </row>
    <row r="15" spans="1:10">
      <c r="A15" s="4">
        <v>11</v>
      </c>
      <c r="B15" s="4" t="s">
        <v>41</v>
      </c>
      <c r="C15" s="6">
        <v>46176</v>
      </c>
      <c r="D15" s="4" t="s">
        <v>14</v>
      </c>
      <c r="E15" s="4" t="s">
        <v>42</v>
      </c>
      <c r="F15" s="4" t="s">
        <v>18</v>
      </c>
      <c r="G15" s="4">
        <v>2000</v>
      </c>
      <c r="I15" t="s">
        <v>43</v>
      </c>
      <c r="J15" t="s">
        <v>44</v>
      </c>
    </row>
    <row r="16" spans="1:10">
      <c r="A16" s="4">
        <v>12</v>
      </c>
      <c r="B16" s="4" t="s">
        <v>45</v>
      </c>
      <c r="C16" s="6">
        <v>46176</v>
      </c>
      <c r="D16" s="4" t="s">
        <v>6</v>
      </c>
      <c r="E16" s="4" t="s">
        <v>46</v>
      </c>
      <c r="F16" s="4" t="s">
        <v>25</v>
      </c>
      <c r="G16" s="4">
        <v>150</v>
      </c>
      <c r="I16" t="s">
        <v>47</v>
      </c>
      <c r="J16">
        <f>MAX(G5:G24)</f>
        <v>2000</v>
      </c>
    </row>
    <row r="17" spans="1:10">
      <c r="A17" s="4">
        <v>13</v>
      </c>
      <c r="B17" s="4" t="s">
        <v>48</v>
      </c>
      <c r="C17" s="6">
        <v>46206</v>
      </c>
      <c r="D17" s="4" t="s">
        <v>4</v>
      </c>
      <c r="E17" s="4" t="s">
        <v>49</v>
      </c>
      <c r="F17" s="4" t="s">
        <v>21</v>
      </c>
      <c r="G17" s="4">
        <v>700</v>
      </c>
      <c r="I17" t="s">
        <v>50</v>
      </c>
      <c r="J17">
        <f>MIN(G5:G24)</f>
        <v>50</v>
      </c>
    </row>
    <row r="18" spans="1:10">
      <c r="A18" s="4">
        <v>14</v>
      </c>
      <c r="B18" s="4" t="s">
        <v>51</v>
      </c>
      <c r="C18" s="6">
        <v>46206</v>
      </c>
      <c r="D18" s="4" t="s">
        <v>16</v>
      </c>
      <c r="E18" s="4" t="s">
        <v>17</v>
      </c>
      <c r="F18" s="4" t="s">
        <v>18</v>
      </c>
      <c r="G18" s="4">
        <v>1500</v>
      </c>
      <c r="I18" t="s">
        <v>52</v>
      </c>
      <c r="J18">
        <f>AVERAGE(G5:G24)</f>
        <v>630.9</v>
      </c>
    </row>
    <row r="19" spans="1:10">
      <c r="A19" s="4">
        <v>15</v>
      </c>
      <c r="B19" s="4" t="s">
        <v>53</v>
      </c>
      <c r="C19" s="6">
        <v>46237</v>
      </c>
      <c r="D19" s="4" t="s">
        <v>22</v>
      </c>
      <c r="E19" s="4" t="s">
        <v>54</v>
      </c>
      <c r="F19" s="4" t="s">
        <v>25</v>
      </c>
      <c r="G19" s="4">
        <v>90</v>
      </c>
    </row>
    <row r="20" spans="1:10">
      <c r="A20" s="4">
        <v>16</v>
      </c>
      <c r="B20" s="4" t="s">
        <v>55</v>
      </c>
      <c r="C20" s="6">
        <v>46237</v>
      </c>
      <c r="D20" s="4" t="s">
        <v>6</v>
      </c>
      <c r="E20" s="4" t="s">
        <v>56</v>
      </c>
      <c r="F20" s="4" t="s">
        <v>18</v>
      </c>
      <c r="G20" s="4">
        <v>499</v>
      </c>
    </row>
    <row r="21" spans="1:10">
      <c r="A21" s="4">
        <v>17</v>
      </c>
      <c r="B21" s="4" t="s">
        <v>57</v>
      </c>
      <c r="C21" s="6">
        <v>46268</v>
      </c>
      <c r="D21" s="4" t="s">
        <v>16</v>
      </c>
      <c r="E21" s="4" t="s">
        <v>27</v>
      </c>
      <c r="F21" s="4" t="s">
        <v>21</v>
      </c>
      <c r="G21" s="4">
        <v>900</v>
      </c>
    </row>
    <row r="22" spans="1:10">
      <c r="A22" s="4">
        <v>18</v>
      </c>
      <c r="B22" s="4" t="s">
        <v>58</v>
      </c>
      <c r="C22" s="6">
        <v>46268</v>
      </c>
      <c r="D22" s="4" t="s">
        <v>4</v>
      </c>
      <c r="E22" s="4" t="s">
        <v>59</v>
      </c>
      <c r="F22" s="4" t="s">
        <v>18</v>
      </c>
      <c r="G22" s="4">
        <v>1000</v>
      </c>
    </row>
    <row r="23" spans="1:10">
      <c r="A23" s="4">
        <v>19</v>
      </c>
      <c r="B23" s="4" t="s">
        <v>60</v>
      </c>
      <c r="C23" s="6">
        <v>46298</v>
      </c>
      <c r="D23" s="4" t="s">
        <v>14</v>
      </c>
      <c r="E23" s="4" t="s">
        <v>61</v>
      </c>
      <c r="F23" s="4" t="s">
        <v>25</v>
      </c>
      <c r="G23" s="4">
        <v>400</v>
      </c>
    </row>
    <row r="24" spans="1:10">
      <c r="A24" s="4">
        <v>20</v>
      </c>
      <c r="B24" s="4" t="s">
        <v>62</v>
      </c>
      <c r="C24" s="6">
        <v>46298</v>
      </c>
      <c r="D24" s="4" t="s">
        <v>22</v>
      </c>
      <c r="E24" s="4" t="s">
        <v>63</v>
      </c>
      <c r="F24" s="4" t="s">
        <v>18</v>
      </c>
      <c r="G24" s="4">
        <v>250</v>
      </c>
    </row>
    <row r="27" spans="1:10">
      <c r="F27" s="3"/>
      <c r="G27" s="3"/>
      <c r="I27" s="3"/>
      <c r="J27" s="3"/>
    </row>
    <row r="28" spans="1:10">
      <c r="F28" s="9"/>
      <c r="G28" s="9"/>
      <c r="I28" s="4"/>
      <c r="J28" s="5"/>
    </row>
    <row r="29" spans="1:10">
      <c r="F29" s="9"/>
      <c r="G29" s="9"/>
      <c r="I29" s="4"/>
      <c r="J29" s="5"/>
    </row>
    <row r="30" spans="1:10">
      <c r="F30" s="4"/>
      <c r="G30" s="9"/>
      <c r="I30" s="4"/>
      <c r="J30" s="4"/>
    </row>
    <row r="31" spans="1:10">
      <c r="F31" s="9"/>
      <c r="G31" s="9"/>
    </row>
    <row r="32" spans="1:10">
      <c r="F32" s="9"/>
      <c r="G32" s="9"/>
    </row>
    <row r="33" spans="3:7">
      <c r="C33" s="9"/>
      <c r="F33" s="9"/>
      <c r="G33" s="9"/>
    </row>
    <row r="35" spans="3:7">
      <c r="F35" s="3"/>
      <c r="G35" s="3"/>
    </row>
    <row r="36" spans="3:7">
      <c r="F36" s="4"/>
      <c r="G36" s="4"/>
    </row>
    <row r="37" spans="3:7">
      <c r="F37" s="4"/>
      <c r="G37" s="4"/>
    </row>
    <row r="38" spans="3:7">
      <c r="F38" s="4"/>
      <c r="G38" s="4"/>
    </row>
  </sheetData>
  <mergeCells count="1">
    <mergeCell ref="A1:G1"/>
  </mergeCells>
  <conditionalFormatting sqref="M12">
    <cfRule type="cellIs" dxfId="24" priority="22" operator="equal">
      <formula>"FOOD"</formula>
    </cfRule>
  </conditionalFormatting>
  <conditionalFormatting sqref="D5:D24">
    <cfRule type="cellIs" dxfId="23" priority="21" operator="equal">
      <formula>"Food"</formula>
    </cfRule>
  </conditionalFormatting>
  <conditionalFormatting sqref="D5:D24">
    <cfRule type="cellIs" dxfId="22" priority="20" operator="equal">
      <formula>"Transport"</formula>
    </cfRule>
  </conditionalFormatting>
  <conditionalFormatting sqref="D5:D24">
    <cfRule type="cellIs" dxfId="21" priority="19" operator="equal">
      <formula>"Shooping"</formula>
    </cfRule>
  </conditionalFormatting>
  <conditionalFormatting sqref="D5:D24">
    <cfRule type="cellIs" dxfId="20" priority="18" operator="equal">
      <formula>"Shopping"</formula>
    </cfRule>
  </conditionalFormatting>
  <conditionalFormatting sqref="D5:D24">
    <cfRule type="cellIs" dxfId="19" priority="17" operator="equal">
      <formula>"Bills"</formula>
    </cfRule>
  </conditionalFormatting>
  <conditionalFormatting sqref="D5:D24">
    <cfRule type="cellIs" dxfId="18" priority="16" operator="equal">
      <formula>"Entertainment"</formula>
    </cfRule>
  </conditionalFormatting>
  <conditionalFormatting sqref="D5:D24">
    <cfRule type="cellIs" dxfId="17" priority="15" operator="equal">
      <formula>"Bills"</formula>
    </cfRule>
  </conditionalFormatting>
  <conditionalFormatting sqref="F5:F24">
    <cfRule type="cellIs" dxfId="16" priority="14" operator="equal">
      <formula>"UPI"</formula>
    </cfRule>
  </conditionalFormatting>
  <conditionalFormatting sqref="F5:F24">
    <cfRule type="cellIs" dxfId="15" priority="13" operator="equal">
      <formula>"Cash"</formula>
    </cfRule>
  </conditionalFormatting>
  <conditionalFormatting sqref="F5:F24">
    <cfRule type="cellIs" dxfId="14" priority="12" operator="equal">
      <formula>"Card"</formula>
    </cfRule>
  </conditionalFormatting>
  <conditionalFormatting sqref="F5:F24">
    <cfRule type="cellIs" dxfId="13" priority="11" operator="equal">
      <formula>"Card"</formula>
    </cfRule>
  </conditionalFormatting>
  <conditionalFormatting sqref="G5:G24">
    <cfRule type="cellIs" dxfId="12" priority="10" operator="lessThan">
      <formula>500</formula>
    </cfRule>
  </conditionalFormatting>
  <conditionalFormatting sqref="G5:G24">
    <cfRule type="cellIs" dxfId="11" priority="9" operator="lessThan">
      <formula>300</formula>
    </cfRule>
  </conditionalFormatting>
  <conditionalFormatting sqref="G5:G24">
    <cfRule type="cellIs" dxfId="10" priority="8" operator="greaterThan">
      <formula>300</formula>
    </cfRule>
  </conditionalFormatting>
  <conditionalFormatting sqref="G5:G24">
    <cfRule type="cellIs" dxfId="9" priority="7" operator="between">
      <formula>500</formula>
      <formula>100</formula>
    </cfRule>
  </conditionalFormatting>
  <conditionalFormatting sqref="N21">
    <cfRule type="cellIs" dxfId="8" priority="6" operator="between">
      <formula>500</formula>
      <formula>1000</formula>
    </cfRule>
  </conditionalFormatting>
  <conditionalFormatting sqref="G5:G24">
    <cfRule type="cellIs" dxfId="7" priority="5" operator="between">
      <formula>500</formula>
      <formula>1000</formula>
    </cfRule>
  </conditionalFormatting>
  <conditionalFormatting sqref="G5:G24">
    <cfRule type="cellIs" dxfId="6" priority="4" operator="greaterThan">
      <formula>1000</formula>
    </cfRule>
  </conditionalFormatting>
  <conditionalFormatting sqref="G5:G24">
    <cfRule type="cellIs" dxfId="5" priority="3" operator="greaterThan">
      <formula>1000</formula>
    </cfRule>
  </conditionalFormatting>
  <conditionalFormatting sqref="G5:G24">
    <cfRule type="cellIs" dxfId="4" priority="2" operator="lessThan">
      <formula>500</formula>
    </cfRule>
  </conditionalFormatting>
  <conditionalFormatting sqref="G5:G24">
    <cfRule type="cellIs" dxfId="3" priority="1" operator="lessThan">
      <formula>500</formula>
    </cfRule>
  </conditionalFormatting>
  <dataValidations count="2">
    <dataValidation type="list" allowBlank="1" showInputMessage="1" showErrorMessage="1" sqref="D4:D24" xr:uid="{CEC13BB0-3841-45BA-9C52-4216377E402C}">
      <formula1>"Food , Transport , Shopping , Entertainment , Bills, Categoryrys"</formula1>
    </dataValidation>
    <dataValidation type="list" allowBlank="1" showInputMessage="1" showErrorMessage="1" sqref="F4:F24 D26:D33" xr:uid="{5CD5E1BC-2730-45F9-9F2A-D4D2A3209DBF}">
      <formula1>"UPI , Cash , Card ,Payment mode "</formula1>
    </dataValidation>
  </dataValidations>
  <pageMargins left="0.7" right="0.7" top="0.75" bottom="0.75" header="0.3" footer="0.3"/>
  <drawing r:id="rId1"/>
  <tableParts count="4">
    <tablePart r:id="rId2"/>
    <tablePart r:id="rId3"/>
    <tablePart r:id="rId4"/>
    <tablePart r:id="rId5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6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2026-03-25T05:34:14Z</dcterms:created>
  <dcterms:modified xsi:type="dcterms:W3CDTF">2026-04-05T05:52:59Z</dcterms:modified>
  <cp:category/>
  <cp:contentStatus/>
</cp:coreProperties>
</file>